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perty\"/>
    </mc:Choice>
  </mc:AlternateContent>
  <xr:revisionPtr revIDLastSave="0" documentId="13_ncr:1_{413D6C90-36CF-42C2-922E-718EB80943C5}" xr6:coauthVersionLast="47" xr6:coauthVersionMax="47" xr10:uidLastSave="{00000000-0000-0000-0000-000000000000}"/>
  <bookViews>
    <workbookView xWindow="-110" yWindow="-110" windowWidth="19420" windowHeight="11500" xr2:uid="{384B42AC-8395-4357-9742-0C587228E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H30" i="1"/>
  <c r="H33" i="1" s="1"/>
  <c r="H25" i="1"/>
  <c r="H28" i="1" s="1"/>
  <c r="H20" i="1"/>
  <c r="H23" i="1" s="1"/>
  <c r="B38" i="1"/>
  <c r="C9" i="1"/>
  <c r="C10" i="1" s="1"/>
  <c r="C12" i="1" s="1"/>
  <c r="C14" i="1" s="1"/>
  <c r="C30" i="1" s="1"/>
  <c r="C33" i="1" s="1"/>
  <c r="H9" i="1"/>
  <c r="H10" i="1" s="1"/>
  <c r="H12" i="1" s="1"/>
  <c r="H14" i="1" s="1"/>
  <c r="C25" i="1" l="1"/>
  <c r="C28" i="1" s="1"/>
  <c r="C20" i="1"/>
  <c r="C23" i="1" s="1"/>
</calcChain>
</file>

<file path=xl/sharedStrings.xml><?xml version="1.0" encoding="utf-8"?>
<sst xmlns="http://schemas.openxmlformats.org/spreadsheetml/2006/main" count="70" uniqueCount="31">
  <si>
    <t>Nett (1)</t>
  </si>
  <si>
    <t>(-)</t>
  </si>
  <si>
    <t>Nett (2)</t>
  </si>
  <si>
    <t>Nett (3)</t>
  </si>
  <si>
    <t>(-)                       10%</t>
  </si>
  <si>
    <t>SPA Price</t>
  </si>
  <si>
    <t>Type D</t>
  </si>
  <si>
    <t>Type F</t>
  </si>
  <si>
    <t>T7-09-02</t>
  </si>
  <si>
    <t>3R 2B</t>
  </si>
  <si>
    <t>3+1R 2B</t>
  </si>
  <si>
    <t>T7-12-03</t>
  </si>
  <si>
    <t>Unit :</t>
  </si>
  <si>
    <t>Type :</t>
  </si>
  <si>
    <t>Car Park (S/S) :</t>
  </si>
  <si>
    <t>Loan Amount</t>
  </si>
  <si>
    <t>Nett (1) :</t>
  </si>
  <si>
    <t>Interest Rate :</t>
  </si>
  <si>
    <t>Loan Tenure :</t>
  </si>
  <si>
    <t xml:space="preserve">Monthly : </t>
  </si>
  <si>
    <t>Nett (2) :</t>
  </si>
  <si>
    <t>Nett (3) :</t>
  </si>
  <si>
    <t>Size (SQF) :</t>
  </si>
  <si>
    <t>RM 0.25 SQF</t>
  </si>
  <si>
    <t>Maintenance Fee (Monthly)</t>
  </si>
  <si>
    <t>Free</t>
  </si>
  <si>
    <t>SPA Legal Fee</t>
  </si>
  <si>
    <t>SPA Stamp Duty</t>
  </si>
  <si>
    <t>Loan Legal Fee</t>
  </si>
  <si>
    <t>Loan Stamp Duty</t>
  </si>
  <si>
    <t>Saved
RM 24,953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</si>
</sst>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-* #,##0_-;\-* #,##0_-;_-* &quot;-&quot;??_-;_-@_-"/>
    <numFmt numFmtId="171" formatCode="&quot;RM&quot;\ #,##0"/>
    <numFmt numFmtId="172" formatCode="&quot;RM&quot;\ #,##0.00;[Red]\-&quot;RM&quot;#,##0.00"/>
    <numFmt numFmtId="175" formatCode="&quot;RM&quot;\ #,##0.00;\-&quot;RM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1" applyNumberFormat="1" applyFont="1"/>
    <xf numFmtId="0" fontId="4" fillId="0" borderId="1" xfId="0" applyFont="1" applyBorder="1"/>
    <xf numFmtId="165" fontId="4" fillId="0" borderId="1" xfId="1" applyNumberFormat="1" applyFont="1" applyBorder="1"/>
    <xf numFmtId="0" fontId="5" fillId="0" borderId="0" xfId="0" applyFont="1" applyBorder="1" applyAlignment="1">
      <alignment horizontal="right"/>
    </xf>
    <xf numFmtId="165" fontId="5" fillId="0" borderId="0" xfId="1" applyNumberFormat="1" applyFont="1" applyBorder="1"/>
    <xf numFmtId="0" fontId="5" fillId="0" borderId="1" xfId="0" applyFont="1" applyBorder="1" applyAlignment="1">
      <alignment horizontal="right"/>
    </xf>
    <xf numFmtId="165" fontId="5" fillId="0" borderId="1" xfId="1" applyNumberFormat="1" applyFont="1" applyBorder="1"/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1" fontId="4" fillId="0" borderId="0" xfId="1" applyNumberFormat="1" applyFont="1"/>
    <xf numFmtId="171" fontId="4" fillId="0" borderId="1" xfId="1" applyNumberFormat="1" applyFont="1" applyBorder="1"/>
    <xf numFmtId="171" fontId="5" fillId="0" borderId="0" xfId="1" applyNumberFormat="1" applyFont="1" applyBorder="1"/>
    <xf numFmtId="171" fontId="5" fillId="0" borderId="1" xfId="1" applyNumberFormat="1" applyFont="1" applyBorder="1"/>
    <xf numFmtId="172" fontId="3" fillId="0" borderId="1" xfId="0" applyNumberFormat="1" applyFont="1" applyBorder="1" applyAlignment="1">
      <alignment horizontal="center"/>
    </xf>
    <xf numFmtId="172" fontId="3" fillId="0" borderId="2" xfId="0" applyNumberFormat="1" applyFont="1" applyBorder="1" applyAlignment="1">
      <alignment horizontal="center"/>
    </xf>
    <xf numFmtId="175" fontId="3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40</xdr:row>
      <xdr:rowOff>6350</xdr:rowOff>
    </xdr:from>
    <xdr:to>
      <xdr:col>2</xdr:col>
      <xdr:colOff>1016000</xdr:colOff>
      <xdr:row>43</xdr:row>
      <xdr:rowOff>165100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FC42F4D1-1BF8-DA33-5121-784B3CBD42FF}"/>
            </a:ext>
          </a:extLst>
        </xdr:cNvPr>
        <xdr:cNvSpPr/>
      </xdr:nvSpPr>
      <xdr:spPr>
        <a:xfrm>
          <a:off x="2305050" y="7677150"/>
          <a:ext cx="342900" cy="71120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7</xdr:col>
      <xdr:colOff>673100</xdr:colOff>
      <xdr:row>40</xdr:row>
      <xdr:rowOff>6350</xdr:rowOff>
    </xdr:from>
    <xdr:to>
      <xdr:col>7</xdr:col>
      <xdr:colOff>1016000</xdr:colOff>
      <xdr:row>43</xdr:row>
      <xdr:rowOff>165100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E78CF122-3D91-40EE-BA5C-9F9BE8474456}"/>
            </a:ext>
          </a:extLst>
        </xdr:cNvPr>
        <xdr:cNvSpPr/>
      </xdr:nvSpPr>
      <xdr:spPr>
        <a:xfrm>
          <a:off x="2305050" y="7677150"/>
          <a:ext cx="342900" cy="71120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255E-DDE2-41D7-8DFC-84EC2CB72BEC}">
  <dimension ref="B2:I46"/>
  <sheetViews>
    <sheetView showGridLines="0" tabSelected="1" workbookViewId="0">
      <selection activeCell="E23" sqref="E23"/>
    </sheetView>
  </sheetViews>
  <sheetFormatPr defaultRowHeight="14.5" x14ac:dyDescent="0.35"/>
  <cols>
    <col min="2" max="3" width="14.6328125" customWidth="1"/>
    <col min="4" max="6" width="11.26953125" customWidth="1"/>
    <col min="7" max="8" width="14.6328125" customWidth="1"/>
  </cols>
  <sheetData>
    <row r="2" spans="2:8" x14ac:dyDescent="0.35">
      <c r="B2" s="13" t="s">
        <v>6</v>
      </c>
      <c r="C2" s="13"/>
      <c r="G2" s="13" t="s">
        <v>7</v>
      </c>
      <c r="H2" s="13"/>
    </row>
    <row r="3" spans="2:8" x14ac:dyDescent="0.35">
      <c r="B3" s="12" t="s">
        <v>12</v>
      </c>
      <c r="C3" s="14" t="s">
        <v>11</v>
      </c>
      <c r="G3" s="12" t="s">
        <v>12</v>
      </c>
      <c r="H3" s="14" t="s">
        <v>8</v>
      </c>
    </row>
    <row r="4" spans="2:8" x14ac:dyDescent="0.35">
      <c r="B4" s="12" t="s">
        <v>22</v>
      </c>
      <c r="C4" s="14">
        <v>958</v>
      </c>
      <c r="G4" s="12" t="s">
        <v>22</v>
      </c>
      <c r="H4" s="14">
        <v>1324</v>
      </c>
    </row>
    <row r="5" spans="2:8" x14ac:dyDescent="0.35">
      <c r="B5" s="12" t="s">
        <v>13</v>
      </c>
      <c r="C5" s="14" t="s">
        <v>9</v>
      </c>
      <c r="G5" s="12" t="s">
        <v>13</v>
      </c>
      <c r="H5" s="14" t="s">
        <v>10</v>
      </c>
    </row>
    <row r="6" spans="2:8" x14ac:dyDescent="0.35">
      <c r="B6" s="12" t="s">
        <v>14</v>
      </c>
      <c r="C6" s="14">
        <v>2</v>
      </c>
      <c r="G6" s="12" t="s">
        <v>14</v>
      </c>
      <c r="H6" s="14">
        <v>2</v>
      </c>
    </row>
    <row r="8" spans="2:8" ht="17.5" customHeight="1" x14ac:dyDescent="0.4">
      <c r="B8" s="4" t="s">
        <v>5</v>
      </c>
      <c r="C8" s="18">
        <v>520800</v>
      </c>
      <c r="G8" s="4" t="s">
        <v>5</v>
      </c>
      <c r="H8" s="5">
        <v>654800</v>
      </c>
    </row>
    <row r="9" spans="2:8" ht="17.5" customHeight="1" thickBot="1" x14ac:dyDescent="0.45">
      <c r="B9" s="6" t="s">
        <v>4</v>
      </c>
      <c r="C9" s="19">
        <f>C8*10%</f>
        <v>52080</v>
      </c>
      <c r="G9" s="6" t="s">
        <v>4</v>
      </c>
      <c r="H9" s="7">
        <f>H8*10%</f>
        <v>65480</v>
      </c>
    </row>
    <row r="10" spans="2:8" ht="17.5" customHeight="1" x14ac:dyDescent="0.4">
      <c r="B10" s="8" t="s">
        <v>0</v>
      </c>
      <c r="C10" s="20">
        <f>C8-C9</f>
        <v>468720</v>
      </c>
      <c r="G10" s="8" t="s">
        <v>0</v>
      </c>
      <c r="H10" s="9">
        <f>H8-H9</f>
        <v>589320</v>
      </c>
    </row>
    <row r="11" spans="2:8" ht="17.5" customHeight="1" thickBot="1" x14ac:dyDescent="0.45">
      <c r="B11" s="6" t="s">
        <v>1</v>
      </c>
      <c r="C11" s="19">
        <v>15000</v>
      </c>
      <c r="G11" s="6" t="s">
        <v>1</v>
      </c>
      <c r="H11" s="7">
        <v>30000</v>
      </c>
    </row>
    <row r="12" spans="2:8" ht="17.5" customHeight="1" x14ac:dyDescent="0.4">
      <c r="B12" s="8" t="s">
        <v>2</v>
      </c>
      <c r="C12" s="20">
        <f>C10-C11</f>
        <v>453720</v>
      </c>
      <c r="G12" s="8" t="s">
        <v>2</v>
      </c>
      <c r="H12" s="9">
        <f>H10-H11</f>
        <v>559320</v>
      </c>
    </row>
    <row r="13" spans="2:8" ht="17.5" customHeight="1" thickBot="1" x14ac:dyDescent="0.45">
      <c r="B13" s="6" t="s">
        <v>1</v>
      </c>
      <c r="C13" s="19">
        <v>6000</v>
      </c>
      <c r="G13" s="6" t="s">
        <v>1</v>
      </c>
      <c r="H13" s="7">
        <v>6000</v>
      </c>
    </row>
    <row r="14" spans="2:8" ht="17.5" customHeight="1" thickBot="1" x14ac:dyDescent="0.45">
      <c r="B14" s="10" t="s">
        <v>3</v>
      </c>
      <c r="C14" s="21">
        <f>C12-C13</f>
        <v>447720</v>
      </c>
      <c r="G14" s="10" t="s">
        <v>3</v>
      </c>
      <c r="H14" s="11">
        <f>H12-H13</f>
        <v>553320</v>
      </c>
    </row>
    <row r="19" spans="2:8" x14ac:dyDescent="0.35">
      <c r="B19" s="13" t="s">
        <v>15</v>
      </c>
      <c r="C19" s="13"/>
      <c r="G19" s="13" t="s">
        <v>15</v>
      </c>
      <c r="H19" s="13"/>
    </row>
    <row r="20" spans="2:8" x14ac:dyDescent="0.35">
      <c r="B20" s="1" t="s">
        <v>16</v>
      </c>
      <c r="C20" s="15">
        <f>C10</f>
        <v>468720</v>
      </c>
      <c r="G20" s="1" t="s">
        <v>16</v>
      </c>
      <c r="H20" s="15">
        <f>H10</f>
        <v>589320</v>
      </c>
    </row>
    <row r="21" spans="2:8" x14ac:dyDescent="0.35">
      <c r="B21" s="1" t="s">
        <v>17</v>
      </c>
      <c r="C21" s="16">
        <v>4</v>
      </c>
      <c r="G21" s="1" t="s">
        <v>17</v>
      </c>
      <c r="H21" s="16">
        <v>4</v>
      </c>
    </row>
    <row r="22" spans="2:8" ht="15" thickBot="1" x14ac:dyDescent="0.4">
      <c r="B22" s="2" t="s">
        <v>18</v>
      </c>
      <c r="C22" s="17">
        <v>35</v>
      </c>
      <c r="G22" s="2" t="s">
        <v>18</v>
      </c>
      <c r="H22" s="17">
        <v>35</v>
      </c>
    </row>
    <row r="23" spans="2:8" ht="15" thickBot="1" x14ac:dyDescent="0.4">
      <c r="B23" s="2" t="s">
        <v>19</v>
      </c>
      <c r="C23" s="22">
        <f>PMT((C21/100)/12,C22*12,-C20)</f>
        <v>2075.3737661713549</v>
      </c>
      <c r="G23" s="2" t="s">
        <v>19</v>
      </c>
      <c r="H23" s="22">
        <f>PMT((H21/100)/12,H22*12,-H20)</f>
        <v>2609.360103857533</v>
      </c>
    </row>
    <row r="25" spans="2:8" x14ac:dyDescent="0.35">
      <c r="B25" s="1" t="s">
        <v>20</v>
      </c>
      <c r="C25" s="15">
        <f>C12</f>
        <v>453720</v>
      </c>
      <c r="G25" s="1" t="s">
        <v>20</v>
      </c>
      <c r="H25" s="15">
        <f>H12</f>
        <v>559320</v>
      </c>
    </row>
    <row r="26" spans="2:8" x14ac:dyDescent="0.35">
      <c r="B26" s="1" t="s">
        <v>17</v>
      </c>
      <c r="C26" s="16">
        <v>4</v>
      </c>
      <c r="G26" s="1" t="s">
        <v>17</v>
      </c>
      <c r="H26" s="16">
        <v>4</v>
      </c>
    </row>
    <row r="27" spans="2:8" ht="15" thickBot="1" x14ac:dyDescent="0.4">
      <c r="B27" s="2" t="s">
        <v>18</v>
      </c>
      <c r="C27" s="17">
        <v>35</v>
      </c>
      <c r="G27" s="2" t="s">
        <v>18</v>
      </c>
      <c r="H27" s="17">
        <v>35</v>
      </c>
    </row>
    <row r="28" spans="2:8" ht="15" thickBot="1" x14ac:dyDescent="0.4">
      <c r="B28" s="3" t="s">
        <v>19</v>
      </c>
      <c r="C28" s="23">
        <f>PMT((C26/100)/12,C27*12,-C25)</f>
        <v>2008.9575550163577</v>
      </c>
      <c r="G28" s="3" t="s">
        <v>19</v>
      </c>
      <c r="H28" s="23">
        <f>PMT((H26/100)/12,H27*12,-H25)</f>
        <v>2476.5276815475386</v>
      </c>
    </row>
    <row r="30" spans="2:8" x14ac:dyDescent="0.35">
      <c r="B30" s="1" t="s">
        <v>21</v>
      </c>
      <c r="C30" s="15">
        <f>C14</f>
        <v>447720</v>
      </c>
      <c r="G30" s="1" t="s">
        <v>21</v>
      </c>
      <c r="H30" s="15">
        <f>H14</f>
        <v>553320</v>
      </c>
    </row>
    <row r="31" spans="2:8" x14ac:dyDescent="0.35">
      <c r="B31" s="1" t="s">
        <v>17</v>
      </c>
      <c r="C31" s="16">
        <v>4</v>
      </c>
      <c r="G31" s="1" t="s">
        <v>17</v>
      </c>
      <c r="H31" s="16">
        <v>4</v>
      </c>
    </row>
    <row r="32" spans="2:8" ht="15" thickBot="1" x14ac:dyDescent="0.4">
      <c r="B32" s="2" t="s">
        <v>18</v>
      </c>
      <c r="C32" s="17">
        <v>35</v>
      </c>
      <c r="G32" s="2" t="s">
        <v>18</v>
      </c>
      <c r="H32" s="17">
        <v>35</v>
      </c>
    </row>
    <row r="33" spans="2:9" ht="15" thickBot="1" x14ac:dyDescent="0.4">
      <c r="B33" s="3" t="s">
        <v>19</v>
      </c>
      <c r="C33" s="23">
        <f>PMT((C31/100)/12,C32*12,-C30)</f>
        <v>1982.3910705543585</v>
      </c>
      <c r="G33" s="3" t="s">
        <v>19</v>
      </c>
      <c r="H33" s="23">
        <f>PMT((H31/100)/12,H32*12,-H30)</f>
        <v>2449.9611970855394</v>
      </c>
    </row>
    <row r="36" spans="2:9" x14ac:dyDescent="0.35">
      <c r="B36" s="13" t="s">
        <v>24</v>
      </c>
      <c r="C36" s="13"/>
      <c r="G36" s="13" t="s">
        <v>24</v>
      </c>
      <c r="H36" s="13"/>
    </row>
    <row r="37" spans="2:9" x14ac:dyDescent="0.35">
      <c r="B37" s="25" t="s">
        <v>23</v>
      </c>
      <c r="C37" s="25"/>
      <c r="G37" s="25" t="s">
        <v>23</v>
      </c>
      <c r="H37" s="25"/>
    </row>
    <row r="38" spans="2:9" x14ac:dyDescent="0.35">
      <c r="B38" s="24">
        <f>0.25*C4</f>
        <v>239.5</v>
      </c>
      <c r="C38" s="24"/>
      <c r="G38" s="24">
        <f>0.25*H4</f>
        <v>331</v>
      </c>
      <c r="H38" s="24"/>
    </row>
    <row r="40" spans="2:9" x14ac:dyDescent="0.35">
      <c r="B40" s="13" t="s">
        <v>25</v>
      </c>
      <c r="C40" s="13"/>
      <c r="G40" s="13" t="s">
        <v>25</v>
      </c>
      <c r="H40" s="13"/>
    </row>
    <row r="41" spans="2:9" x14ac:dyDescent="0.35">
      <c r="B41" s="25" t="s">
        <v>26</v>
      </c>
      <c r="C41" s="25"/>
      <c r="D41" s="28" t="s">
        <v>30</v>
      </c>
      <c r="G41" s="25" t="s">
        <v>26</v>
      </c>
      <c r="H41" s="25"/>
      <c r="I41" s="28" t="s">
        <v>30</v>
      </c>
    </row>
    <row r="42" spans="2:9" x14ac:dyDescent="0.35">
      <c r="B42" s="25" t="s">
        <v>27</v>
      </c>
      <c r="C42" s="25"/>
      <c r="D42" s="27"/>
      <c r="G42" s="25" t="s">
        <v>27</v>
      </c>
      <c r="H42" s="25"/>
      <c r="I42" s="27"/>
    </row>
    <row r="43" spans="2:9" x14ac:dyDescent="0.35">
      <c r="B43" s="25" t="s">
        <v>28</v>
      </c>
      <c r="C43" s="25"/>
      <c r="D43" s="27"/>
      <c r="G43" s="25" t="s">
        <v>28</v>
      </c>
      <c r="H43" s="25"/>
      <c r="I43" s="27"/>
    </row>
    <row r="44" spans="2:9" x14ac:dyDescent="0.35">
      <c r="B44" s="25" t="s">
        <v>29</v>
      </c>
      <c r="C44" s="25"/>
      <c r="D44" s="27"/>
      <c r="G44" s="25" t="s">
        <v>29</v>
      </c>
      <c r="H44" s="25"/>
      <c r="I44" s="27"/>
    </row>
    <row r="45" spans="2:9" x14ac:dyDescent="0.35">
      <c r="B45" s="26"/>
      <c r="C45" s="26"/>
    </row>
    <row r="46" spans="2:9" x14ac:dyDescent="0.35">
      <c r="B46" s="26"/>
      <c r="C46" s="26"/>
    </row>
  </sheetData>
  <mergeCells count="22">
    <mergeCell ref="I41:I44"/>
    <mergeCell ref="G42:H42"/>
    <mergeCell ref="G43:H43"/>
    <mergeCell ref="G44:H44"/>
    <mergeCell ref="D41:D44"/>
    <mergeCell ref="G19:H19"/>
    <mergeCell ref="G36:H36"/>
    <mergeCell ref="G37:H37"/>
    <mergeCell ref="G38:H38"/>
    <mergeCell ref="G40:H40"/>
    <mergeCell ref="G41:H41"/>
    <mergeCell ref="B40:C40"/>
    <mergeCell ref="B41:C41"/>
    <mergeCell ref="B42:C42"/>
    <mergeCell ref="B43:C43"/>
    <mergeCell ref="B44:C44"/>
    <mergeCell ref="B2:C2"/>
    <mergeCell ref="G2:H2"/>
    <mergeCell ref="B19:C19"/>
    <mergeCell ref="B36:C36"/>
    <mergeCell ref="B38:C38"/>
    <mergeCell ref="B37:C37"/>
  </mergeCells>
  <pageMargins left="0.7" right="0.7" top="0.75" bottom="0.75" header="0.3" footer="0.3"/>
  <pageSetup orientation="portrait" r:id="rId1"/>
  <ignoredErrors>
    <ignoredError sqref="B38 G38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Appiq</dc:creator>
  <cp:lastModifiedBy>Firdaus Appiq</cp:lastModifiedBy>
  <dcterms:created xsi:type="dcterms:W3CDTF">2026-06-05T13:21:15Z</dcterms:created>
  <dcterms:modified xsi:type="dcterms:W3CDTF">2026-06-05T14:01:25Z</dcterms:modified>
</cp:coreProperties>
</file>